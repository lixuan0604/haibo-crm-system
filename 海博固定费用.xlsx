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Users\Administrator\Desktop\"/>
    </mc:Choice>
  </mc:AlternateContent>
  <xr:revisionPtr revIDLastSave="0" documentId="13_ncr:1_{B90591E4-E7A9-44F9-B717-2B07B56C86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5" l="1"/>
  <c r="J27" i="5"/>
  <c r="J26" i="5"/>
  <c r="J25" i="5"/>
  <c r="J24" i="5"/>
  <c r="D38" i="5"/>
  <c r="J40" i="5" s="1"/>
  <c r="E38" i="5"/>
  <c r="F38" i="5"/>
  <c r="G38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8" i="5"/>
  <c r="J29" i="5"/>
  <c r="Q15" i="5"/>
  <c r="P15" i="5"/>
  <c r="O15" i="5"/>
  <c r="Z15" i="5" s="1"/>
  <c r="N15" i="5"/>
  <c r="M15" i="5"/>
  <c r="J3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3" authorId="0" shapeId="0" xr:uid="{D3C6362D-D1E6-41DB-A670-4FB3199C8971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2026.04-06月15003.3元（2026.3.19支付）
2026.07-09月15003.3元（2026.6.8支付）
2026.10-12月15003.3元（2026.9.16支付）
2027.01-03月15003.3元</t>
        </r>
      </text>
    </comment>
    <comment ref="E3" authorId="0" shapeId="0" xr:uid="{DBBCC9DF-90BD-4822-B7D4-904F1CE955E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2026.3.19支付</t>
        </r>
      </text>
    </comment>
    <comment ref="F3" authorId="0" shapeId="0" xr:uid="{BC8E1E4B-FA87-4A95-BBF7-667436A10026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2026.6.8支付</t>
        </r>
      </text>
    </comment>
    <comment ref="G3" authorId="0" shapeId="0" xr:uid="{D6C1FCC3-116D-469B-BBDA-10B6400C7BB3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2026.9.16支付</t>
        </r>
      </text>
    </comment>
    <comment ref="A18" authorId="0" shapeId="0" xr:uid="{E7EE4166-CA9C-4D1B-B5FD-07DE24C20090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武东路28弄19号楼102室，
王老师021-55669617</t>
        </r>
      </text>
    </comment>
  </commentList>
</comments>
</file>

<file path=xl/sharedStrings.xml><?xml version="1.0" encoding="utf-8"?>
<sst xmlns="http://schemas.openxmlformats.org/spreadsheetml/2006/main" count="96" uniqueCount="90">
  <si>
    <t>月份</t>
    <phoneticPr fontId="6" type="noConversion"/>
  </si>
  <si>
    <t>电费</t>
    <phoneticPr fontId="6" type="noConversion"/>
  </si>
  <si>
    <t>水费</t>
    <phoneticPr fontId="6" type="noConversion"/>
  </si>
  <si>
    <t>天燃气</t>
    <phoneticPr fontId="6" type="noConversion"/>
  </si>
  <si>
    <t>集体宿舍</t>
    <phoneticPr fontId="6" type="noConversion"/>
  </si>
  <si>
    <t>王明旭宿舍</t>
    <phoneticPr fontId="6" type="noConversion"/>
  </si>
  <si>
    <t>固定费用名称</t>
    <phoneticPr fontId="6" type="noConversion"/>
  </si>
  <si>
    <t>雇主责任险</t>
    <phoneticPr fontId="6" type="noConversion"/>
  </si>
  <si>
    <t>物业费</t>
    <phoneticPr fontId="6" type="noConversion"/>
  </si>
  <si>
    <t>消防维保</t>
    <phoneticPr fontId="6" type="noConversion"/>
  </si>
  <si>
    <t>公众信用会员费</t>
    <phoneticPr fontId="6" type="noConversion"/>
  </si>
  <si>
    <t>消防协会会员费</t>
    <phoneticPr fontId="6" type="noConversion"/>
  </si>
  <si>
    <t>节能协会会员费</t>
    <phoneticPr fontId="6" type="noConversion"/>
  </si>
  <si>
    <t>空调清洗协会</t>
    <phoneticPr fontId="6" type="noConversion"/>
  </si>
  <si>
    <t>家电协会会员费</t>
    <phoneticPr fontId="6" type="noConversion"/>
  </si>
  <si>
    <t>货拉拉</t>
    <phoneticPr fontId="1" type="noConversion"/>
  </si>
  <si>
    <t>吴良渠停车费</t>
    <phoneticPr fontId="6" type="noConversion"/>
  </si>
  <si>
    <t>80元/月*3辆*12个月=2880元/年</t>
  </si>
  <si>
    <t>资质年度维护费</t>
    <phoneticPr fontId="1" type="noConversion"/>
  </si>
  <si>
    <t>资质借证费</t>
    <phoneticPr fontId="1" type="noConversion"/>
  </si>
  <si>
    <t>证书考试费</t>
    <phoneticPr fontId="1" type="noConversion"/>
  </si>
  <si>
    <t>快递费</t>
    <phoneticPr fontId="1" type="noConversion"/>
  </si>
  <si>
    <t>电话费</t>
    <phoneticPr fontId="1" type="noConversion"/>
  </si>
  <si>
    <t>系统维护费</t>
    <phoneticPr fontId="1" type="noConversion"/>
  </si>
  <si>
    <t>6000元/年</t>
    <phoneticPr fontId="1" type="noConversion"/>
  </si>
  <si>
    <t>会员费2000元/年，水质处理运维证500元，分体空调清洗证免费</t>
    <phoneticPr fontId="1" type="noConversion"/>
  </si>
  <si>
    <t>2026.8.1-2027.7.31</t>
    <phoneticPr fontId="1" type="noConversion"/>
  </si>
  <si>
    <t>2026.4.1-2027.3.31</t>
    <phoneticPr fontId="1" type="noConversion"/>
  </si>
  <si>
    <t>909.29平方*5.5元/平*12个月=60013.14元
水费5.75元/吨
电费1.32元/度（不固定）</t>
    <phoneticPr fontId="1" type="noConversion"/>
  </si>
  <si>
    <t>6000元二年</t>
    <phoneticPr fontId="1" type="noConversion"/>
  </si>
  <si>
    <t>2025.4.2-2027.4.1</t>
    <phoneticPr fontId="1" type="noConversion"/>
  </si>
  <si>
    <t>3000元一年，三个学员1000元/人/2年
2025.6.16会费3000元+培训费3000元已付</t>
    <phoneticPr fontId="1" type="noConversion"/>
  </si>
  <si>
    <t>2025.6.16-2026.6.15-2027.6.15</t>
    <phoneticPr fontId="1" type="noConversion"/>
  </si>
  <si>
    <t>（5000元，已付3500元）</t>
    <phoneticPr fontId="1" type="noConversion"/>
  </si>
  <si>
    <t>2026.6.1-2027.5.31</t>
    <phoneticPr fontId="1" type="noConversion"/>
  </si>
  <si>
    <t>11000元/年/本*2本=22000元</t>
    <phoneticPr fontId="1" type="noConversion"/>
  </si>
  <si>
    <t>2026.1.1-2026.12.31</t>
    <phoneticPr fontId="1" type="noConversion"/>
  </si>
  <si>
    <t>2800元/年</t>
    <phoneticPr fontId="1" type="noConversion"/>
  </si>
  <si>
    <t>每年年检：维保单位代业主申报</t>
    <phoneticPr fontId="1" type="noConversion"/>
  </si>
  <si>
    <t>应急电池更换：二年更换一次，停电时应急功能，每年在年检种时属于强检内容</t>
    <phoneticPr fontId="1" type="noConversion"/>
  </si>
  <si>
    <t>公司资质借证费</t>
    <phoneticPr fontId="1" type="noConversion"/>
  </si>
  <si>
    <t>会员证1500元+会费500元</t>
    <phoneticPr fontId="1" type="noConversion"/>
  </si>
  <si>
    <t>日立电梯维保
（2024.1.22启用）</t>
    <phoneticPr fontId="6" type="noConversion"/>
  </si>
  <si>
    <t>起止日期</t>
    <phoneticPr fontId="1" type="noConversion"/>
  </si>
  <si>
    <t>注解说明</t>
    <phoneticPr fontId="1" type="noConversion"/>
  </si>
  <si>
    <t>系统维护费
（梁美玉）</t>
    <phoneticPr fontId="1" type="noConversion"/>
  </si>
  <si>
    <t>1250元/月，一季度一付</t>
    <phoneticPr fontId="1" type="noConversion"/>
  </si>
  <si>
    <t>限速器年检300/次/2年，2年检查一次</t>
    <phoneticPr fontId="1" type="noConversion"/>
  </si>
  <si>
    <t>2024.1-2026.12.31</t>
    <phoneticPr fontId="1" type="noConversion"/>
  </si>
  <si>
    <t>年度维保350元/月*12月=4200元，签约3年，一年一付，每月二次保养检查</t>
    <phoneticPr fontId="1" type="noConversion"/>
  </si>
  <si>
    <t>2025.1.19---2028.1.18</t>
    <phoneticPr fontId="1" type="noConversion"/>
  </si>
  <si>
    <t>制动器实验1000/次/6年，6年一次，检测满载刹车性能</t>
    <phoneticPr fontId="1" type="noConversion"/>
  </si>
  <si>
    <t>2025.12.1-2026.11.30</t>
    <phoneticPr fontId="1" type="noConversion"/>
  </si>
  <si>
    <t>2026.4.30-2027-4.29</t>
    <phoneticPr fontId="1" type="noConversion"/>
  </si>
  <si>
    <t>2026.7.11-2027.7.10</t>
    <phoneticPr fontId="1" type="noConversion"/>
  </si>
  <si>
    <t>2026.1.3-2027.1.2</t>
    <phoneticPr fontId="1" type="noConversion"/>
  </si>
  <si>
    <t>沪G-BH987停车费</t>
    <phoneticPr fontId="1" type="noConversion"/>
  </si>
  <si>
    <t>沪AE00851停车费</t>
    <phoneticPr fontId="1" type="noConversion"/>
  </si>
  <si>
    <t>沪FFC781停车费</t>
    <phoneticPr fontId="1" type="noConversion"/>
  </si>
  <si>
    <t>时价，每次要报价</t>
    <phoneticPr fontId="1" type="noConversion"/>
  </si>
  <si>
    <t>2026.8.1-2027.31</t>
    <phoneticPr fontId="1" type="noConversion"/>
  </si>
  <si>
    <t>太平洋保险</t>
    <phoneticPr fontId="1" type="noConversion"/>
  </si>
  <si>
    <t>平安保险</t>
    <phoneticPr fontId="1" type="noConversion"/>
  </si>
  <si>
    <t>应付</t>
    <phoneticPr fontId="1" type="noConversion"/>
  </si>
  <si>
    <t>年度总费用</t>
    <phoneticPr fontId="6" type="noConversion"/>
  </si>
  <si>
    <t>1月</t>
    <phoneticPr fontId="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</si>
  <si>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</si>
  <si>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</si>
  <si>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</si>
  <si>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</si>
  <si>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</si>
  <si>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</si>
  <si>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</si>
  <si>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</si>
  <si>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</si>
  <si>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</si>
  <si>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</si>
  <si>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r>
      <t>沪</t>
    </r>
    <r>
      <rPr>
        <sz val="10"/>
        <color rgb="FF000000"/>
        <rFont val="宋体"/>
        <family val="3"/>
        <charset val="134"/>
      </rPr>
      <t>FFC781</t>
    </r>
    <r>
      <rPr>
        <sz val="10"/>
        <rFont val="宋体"/>
        <family val="3"/>
        <charset val="134"/>
      </rPr>
      <t>保险</t>
    </r>
    <phoneticPr fontId="6" type="noConversion"/>
  </si>
  <si>
    <r>
      <t>沪</t>
    </r>
    <r>
      <rPr>
        <sz val="10"/>
        <color rgb="FF000000"/>
        <rFont val="宋体"/>
        <family val="3"/>
        <charset val="134"/>
      </rPr>
      <t>F+E1023</t>
    </r>
    <r>
      <rPr>
        <sz val="10"/>
        <rFont val="宋体"/>
        <family val="3"/>
        <charset val="134"/>
      </rPr>
      <t>保险</t>
    </r>
    <phoneticPr fontId="6" type="noConversion"/>
  </si>
  <si>
    <r>
      <t>沪</t>
    </r>
    <r>
      <rPr>
        <sz val="10"/>
        <color rgb="FF000000"/>
        <rFont val="宋体"/>
        <family val="3"/>
        <charset val="134"/>
      </rPr>
      <t>G-BH987</t>
    </r>
    <r>
      <rPr>
        <sz val="10"/>
        <rFont val="宋体"/>
        <family val="3"/>
        <charset val="134"/>
      </rPr>
      <t>保险</t>
    </r>
    <phoneticPr fontId="6" type="noConversion"/>
  </si>
  <si>
    <r>
      <t>沪</t>
    </r>
    <r>
      <rPr>
        <sz val="10"/>
        <color rgb="FF000000"/>
        <rFont val="宋体"/>
        <family val="3"/>
        <charset val="134"/>
      </rPr>
      <t>AE00851</t>
    </r>
    <r>
      <rPr>
        <sz val="10"/>
        <rFont val="宋体"/>
        <family val="3"/>
        <charset val="134"/>
      </rPr>
      <t>保险</t>
    </r>
    <phoneticPr fontId="6" type="noConversion"/>
  </si>
  <si>
    <r>
      <t>沪</t>
    </r>
    <r>
      <rPr>
        <sz val="10"/>
        <color rgb="FF000000"/>
        <rFont val="宋体"/>
        <family val="3"/>
        <charset val="134"/>
      </rPr>
      <t>B-300K8</t>
    </r>
    <r>
      <rPr>
        <sz val="10"/>
        <rFont val="宋体"/>
        <family val="3"/>
        <charset val="134"/>
      </rPr>
      <t>保险</t>
    </r>
    <phoneticPr fontId="6" type="noConversion"/>
  </si>
  <si>
    <t>合计</t>
    <phoneticPr fontId="1" type="noConversion"/>
  </si>
  <si>
    <t>2025.11.14-2026.11.14</t>
    <phoneticPr fontId="1" type="noConversion"/>
  </si>
  <si>
    <t>韩宇+陈雷祺11000*2</t>
    <phoneticPr fontId="1" type="noConversion"/>
  </si>
  <si>
    <t>总计</t>
    <phoneticPr fontId="1" type="noConversion"/>
  </si>
  <si>
    <t>A+B</t>
    <phoneticPr fontId="1" type="noConversion"/>
  </si>
  <si>
    <t>A</t>
    <phoneticPr fontId="1" type="noConversion"/>
  </si>
  <si>
    <t>B</t>
    <phoneticPr fontId="1" type="noConversion"/>
  </si>
  <si>
    <t>海博工会费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</si>
</sst>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9"/>
      <name val="Arial"/>
      <family val="2"/>
    </font>
    <font>
      <sz val="11"/>
      <color rgb="FF000000"/>
      <name val="Calibri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2BB0-B1BF-469D-A1DC-5CFAAB22C2AB}">
  <dimension ref="A2:AA40"/>
  <sheetViews>
    <sheetView tabSelected="1" workbookViewId="0">
      <selection activeCell="H29" sqref="H29"/>
    </sheetView>
  </sheetViews>
  <sheetFormatPr defaultColWidth="10.7109375" defaultRowHeight="21.95" customHeight="1" x14ac:dyDescent="0.25"/>
  <cols>
    <col min="1" max="1" width="21.28515625" style="1" customWidth="1"/>
    <col min="2" max="2" width="39.7109375" style="8" customWidth="1"/>
    <col min="3" max="3" width="31.42578125" style="1" customWidth="1"/>
    <col min="4" max="10" width="10.7109375" style="1"/>
    <col min="11" max="11" width="6.140625" style="13" customWidth="1"/>
    <col min="12" max="16384" width="10.7109375" style="1"/>
  </cols>
  <sheetData>
    <row r="2" spans="1:27" ht="21.95" customHeight="1" x14ac:dyDescent="0.25">
      <c r="A2" s="16" t="s">
        <v>6</v>
      </c>
      <c r="B2" s="16" t="s">
        <v>44</v>
      </c>
      <c r="C2" s="17" t="s">
        <v>43</v>
      </c>
      <c r="D2" s="16" t="s">
        <v>64</v>
      </c>
      <c r="E2" s="17">
        <v>1</v>
      </c>
      <c r="F2" s="17">
        <v>2</v>
      </c>
      <c r="G2" s="17">
        <v>3</v>
      </c>
      <c r="H2" s="16">
        <v>4</v>
      </c>
      <c r="I2" s="17">
        <v>5</v>
      </c>
      <c r="J2" s="17" t="s">
        <v>63</v>
      </c>
      <c r="K2" s="12"/>
      <c r="L2" s="27" t="s">
        <v>0</v>
      </c>
      <c r="M2" s="27" t="s">
        <v>1</v>
      </c>
      <c r="N2" s="27" t="s">
        <v>2</v>
      </c>
      <c r="O2" s="27" t="s">
        <v>3</v>
      </c>
      <c r="P2" s="27" t="s">
        <v>4</v>
      </c>
      <c r="Q2" s="27" t="s">
        <v>5</v>
      </c>
      <c r="R2" s="28" t="s">
        <v>21</v>
      </c>
      <c r="S2" s="28" t="s">
        <v>22</v>
      </c>
      <c r="T2" s="28" t="s">
        <v>23</v>
      </c>
      <c r="U2" s="28" t="s">
        <v>15</v>
      </c>
      <c r="V2" s="28"/>
      <c r="W2" s="28"/>
      <c r="X2" s="28"/>
      <c r="Y2" s="28"/>
      <c r="Z2" s="29" t="s">
        <v>82</v>
      </c>
    </row>
    <row r="3" spans="1:27" ht="38.25" customHeight="1" x14ac:dyDescent="0.25">
      <c r="A3" s="3" t="s">
        <v>8</v>
      </c>
      <c r="B3" s="6" t="s">
        <v>28</v>
      </c>
      <c r="C3" s="9" t="s">
        <v>27</v>
      </c>
      <c r="D3" s="9">
        <v>60013.14</v>
      </c>
      <c r="E3" s="9">
        <v>-15003.3</v>
      </c>
      <c r="F3" s="9">
        <v>-15003.3</v>
      </c>
      <c r="G3" s="9">
        <v>-15003.3</v>
      </c>
      <c r="H3" s="9"/>
      <c r="I3" s="9"/>
      <c r="J3" s="9">
        <f t="shared" ref="J3:J30" si="0">SUM(D3:I3)</f>
        <v>15003.239999999998</v>
      </c>
      <c r="K3" s="12"/>
      <c r="L3" s="3" t="s">
        <v>65</v>
      </c>
      <c r="M3" s="9">
        <v>3827.23</v>
      </c>
      <c r="N3" s="9">
        <v>630</v>
      </c>
      <c r="O3" s="9">
        <v>272.16000000000003</v>
      </c>
      <c r="P3" s="9">
        <v>4500</v>
      </c>
      <c r="Q3" s="9">
        <v>1700</v>
      </c>
      <c r="R3" s="9"/>
      <c r="S3" s="9"/>
      <c r="T3" s="9"/>
      <c r="U3" s="9"/>
      <c r="V3" s="9"/>
      <c r="W3" s="9"/>
      <c r="X3" s="9"/>
      <c r="Y3" s="9"/>
      <c r="Z3" s="21"/>
    </row>
    <row r="4" spans="1:27" ht="21.95" customHeight="1" x14ac:dyDescent="0.25">
      <c r="A4" s="3" t="s">
        <v>56</v>
      </c>
      <c r="B4" s="33" t="s">
        <v>17</v>
      </c>
      <c r="C4" s="34" t="s">
        <v>27</v>
      </c>
      <c r="D4" s="9">
        <v>960</v>
      </c>
      <c r="E4" s="9">
        <v>-960</v>
      </c>
      <c r="F4" s="9"/>
      <c r="G4" s="9"/>
      <c r="H4" s="9"/>
      <c r="I4" s="9"/>
      <c r="J4" s="9">
        <f t="shared" si="0"/>
        <v>0</v>
      </c>
      <c r="K4" s="12"/>
      <c r="L4" s="3" t="s">
        <v>66</v>
      </c>
      <c r="M4" s="9">
        <v>4315.34</v>
      </c>
      <c r="N4" s="9">
        <v>618</v>
      </c>
      <c r="O4" s="9">
        <v>225.78</v>
      </c>
      <c r="P4" s="9">
        <v>4500</v>
      </c>
      <c r="Q4" s="9">
        <v>1700</v>
      </c>
      <c r="R4" s="9"/>
      <c r="S4" s="9"/>
      <c r="T4" s="9"/>
      <c r="U4" s="9"/>
      <c r="V4" s="9"/>
      <c r="W4" s="9"/>
      <c r="X4" s="9"/>
      <c r="Y4" s="9"/>
      <c r="Z4" s="21"/>
    </row>
    <row r="5" spans="1:27" ht="21.95" customHeight="1" x14ac:dyDescent="0.25">
      <c r="A5" s="3" t="s">
        <v>57</v>
      </c>
      <c r="B5" s="31"/>
      <c r="C5" s="35"/>
      <c r="D5" s="9">
        <v>960</v>
      </c>
      <c r="E5" s="9">
        <v>-960</v>
      </c>
      <c r="F5" s="9"/>
      <c r="G5" s="9"/>
      <c r="H5" s="9"/>
      <c r="I5" s="9"/>
      <c r="J5" s="9">
        <f t="shared" si="0"/>
        <v>0</v>
      </c>
      <c r="K5" s="12"/>
      <c r="L5" s="3" t="s">
        <v>67</v>
      </c>
      <c r="M5" s="9">
        <v>2202.7399999999998</v>
      </c>
      <c r="N5" s="9">
        <v>576</v>
      </c>
      <c r="O5" s="9">
        <v>270.39999999999998</v>
      </c>
      <c r="P5" s="9">
        <v>4500</v>
      </c>
      <c r="Q5" s="9">
        <v>1700</v>
      </c>
      <c r="R5" s="9"/>
      <c r="S5" s="9"/>
      <c r="T5" s="9"/>
      <c r="U5" s="9"/>
      <c r="V5" s="9"/>
      <c r="W5" s="9"/>
      <c r="X5" s="9"/>
      <c r="Y5" s="9"/>
      <c r="Z5" s="21"/>
    </row>
    <row r="6" spans="1:27" ht="21.95" customHeight="1" x14ac:dyDescent="0.25">
      <c r="A6" s="3" t="s">
        <v>58</v>
      </c>
      <c r="B6" s="32"/>
      <c r="C6" s="36"/>
      <c r="D6" s="9">
        <v>960</v>
      </c>
      <c r="E6" s="9">
        <v>-960</v>
      </c>
      <c r="F6" s="9"/>
      <c r="G6" s="9"/>
      <c r="H6" s="9"/>
      <c r="I6" s="9"/>
      <c r="J6" s="9">
        <f t="shared" si="0"/>
        <v>0</v>
      </c>
      <c r="K6" s="12"/>
      <c r="L6" s="3" t="s">
        <v>68</v>
      </c>
      <c r="M6" s="9">
        <v>1888.46</v>
      </c>
      <c r="N6" s="9">
        <v>546</v>
      </c>
      <c r="O6" s="9">
        <v>166.4</v>
      </c>
      <c r="P6" s="9">
        <v>4500</v>
      </c>
      <c r="Q6" s="9">
        <v>1600</v>
      </c>
      <c r="R6" s="9"/>
      <c r="S6" s="9"/>
      <c r="T6" s="9"/>
      <c r="U6" s="9"/>
      <c r="V6" s="9"/>
      <c r="W6" s="9"/>
      <c r="X6" s="9"/>
      <c r="Y6" s="9"/>
      <c r="Z6" s="21"/>
    </row>
    <row r="7" spans="1:27" ht="21.95" customHeight="1" x14ac:dyDescent="0.25">
      <c r="A7" s="3" t="s">
        <v>77</v>
      </c>
      <c r="B7" s="7" t="s">
        <v>61</v>
      </c>
      <c r="C7" s="9" t="s">
        <v>60</v>
      </c>
      <c r="D7" s="9">
        <v>3985.76</v>
      </c>
      <c r="E7" s="9">
        <v>-3985.76</v>
      </c>
      <c r="F7" s="9"/>
      <c r="G7" s="9"/>
      <c r="H7" s="9"/>
      <c r="I7" s="9"/>
      <c r="J7" s="9">
        <f t="shared" si="0"/>
        <v>0</v>
      </c>
      <c r="K7" s="12"/>
      <c r="L7" s="3" t="s">
        <v>69</v>
      </c>
      <c r="M7" s="9">
        <v>2272.06</v>
      </c>
      <c r="N7" s="9">
        <v>714</v>
      </c>
      <c r="O7" s="9">
        <v>124.2</v>
      </c>
      <c r="P7" s="9">
        <v>4500</v>
      </c>
      <c r="Q7" s="9">
        <v>1600</v>
      </c>
      <c r="R7" s="9"/>
      <c r="S7" s="9"/>
      <c r="T7" s="9"/>
      <c r="U7" s="9"/>
      <c r="V7" s="9"/>
      <c r="W7" s="9"/>
      <c r="X7" s="9"/>
      <c r="Y7" s="9"/>
      <c r="Z7" s="21"/>
    </row>
    <row r="8" spans="1:27" ht="30.75" customHeight="1" x14ac:dyDescent="0.25">
      <c r="A8" s="3" t="s">
        <v>78</v>
      </c>
      <c r="B8" s="7" t="s">
        <v>62</v>
      </c>
      <c r="C8" s="9" t="s">
        <v>52</v>
      </c>
      <c r="D8" s="9">
        <v>6433.81</v>
      </c>
      <c r="E8" s="9">
        <v>-6433.81</v>
      </c>
      <c r="F8" s="9"/>
      <c r="G8" s="9"/>
      <c r="H8" s="9"/>
      <c r="I8" s="9"/>
      <c r="J8" s="9">
        <f t="shared" si="0"/>
        <v>0</v>
      </c>
      <c r="K8" s="12"/>
      <c r="L8" s="3" t="s">
        <v>70</v>
      </c>
      <c r="M8" s="9">
        <v>2213.4699999999998</v>
      </c>
      <c r="N8" s="9">
        <v>708</v>
      </c>
      <c r="O8" s="9">
        <v>156.4</v>
      </c>
      <c r="P8" s="9">
        <v>4500</v>
      </c>
      <c r="Q8" s="9">
        <v>1600</v>
      </c>
      <c r="R8" s="9"/>
      <c r="S8" s="9"/>
      <c r="T8" s="9"/>
      <c r="U8" s="9"/>
      <c r="V8" s="9"/>
      <c r="W8" s="9"/>
      <c r="X8" s="9"/>
      <c r="Y8" s="9"/>
      <c r="Z8" s="21"/>
    </row>
    <row r="9" spans="1:27" ht="21.95" customHeight="1" x14ac:dyDescent="0.25">
      <c r="A9" s="3" t="s">
        <v>79</v>
      </c>
      <c r="B9" s="7" t="s">
        <v>62</v>
      </c>
      <c r="C9" s="9" t="s">
        <v>54</v>
      </c>
      <c r="D9" s="9">
        <v>10697.17</v>
      </c>
      <c r="E9" s="9">
        <v>-10697.17</v>
      </c>
      <c r="F9" s="9"/>
      <c r="G9" s="9"/>
      <c r="H9" s="9"/>
      <c r="I9" s="9"/>
      <c r="J9" s="9">
        <f t="shared" si="0"/>
        <v>0</v>
      </c>
      <c r="K9" s="12"/>
      <c r="L9" s="3" t="s">
        <v>71</v>
      </c>
      <c r="M9" s="9">
        <v>4752.68</v>
      </c>
      <c r="N9" s="9">
        <v>552</v>
      </c>
      <c r="O9" s="9">
        <v>119.6</v>
      </c>
      <c r="P9" s="9">
        <v>4500</v>
      </c>
      <c r="Q9" s="9">
        <v>1600</v>
      </c>
      <c r="R9" s="9"/>
      <c r="S9" s="9"/>
      <c r="T9" s="9"/>
      <c r="U9" s="9"/>
      <c r="V9" s="9"/>
      <c r="W9" s="9"/>
      <c r="X9" s="9"/>
      <c r="Y9" s="9"/>
      <c r="Z9" s="21"/>
    </row>
    <row r="10" spans="1:27" ht="21.95" customHeight="1" x14ac:dyDescent="0.25">
      <c r="A10" s="3" t="s">
        <v>80</v>
      </c>
      <c r="B10" s="7" t="s">
        <v>62</v>
      </c>
      <c r="C10" s="9" t="s">
        <v>55</v>
      </c>
      <c r="D10" s="9">
        <v>6291.18</v>
      </c>
      <c r="E10" s="9">
        <v>-6291.18</v>
      </c>
      <c r="F10" s="9"/>
      <c r="G10" s="9"/>
      <c r="H10" s="9"/>
      <c r="I10" s="9"/>
      <c r="J10" s="9">
        <f t="shared" si="0"/>
        <v>0</v>
      </c>
      <c r="K10" s="12"/>
      <c r="L10" s="3" t="s">
        <v>72</v>
      </c>
      <c r="M10" s="9">
        <v>0</v>
      </c>
      <c r="N10" s="9">
        <v>0</v>
      </c>
      <c r="O10" s="9">
        <v>87.4</v>
      </c>
      <c r="P10" s="9">
        <v>4500</v>
      </c>
      <c r="Q10" s="9">
        <v>1600</v>
      </c>
      <c r="R10" s="9"/>
      <c r="S10" s="9"/>
      <c r="T10" s="9"/>
      <c r="U10" s="9"/>
      <c r="V10" s="9"/>
      <c r="W10" s="9"/>
      <c r="X10" s="9"/>
      <c r="Y10" s="9"/>
      <c r="Z10" s="21"/>
    </row>
    <row r="11" spans="1:27" ht="21.95" customHeight="1" x14ac:dyDescent="0.25">
      <c r="A11" s="3" t="s">
        <v>81</v>
      </c>
      <c r="B11" s="7" t="s">
        <v>62</v>
      </c>
      <c r="C11" s="9" t="s">
        <v>53</v>
      </c>
      <c r="D11" s="9">
        <v>10173.98</v>
      </c>
      <c r="E11" s="9">
        <v>-10173.98</v>
      </c>
      <c r="F11" s="9"/>
      <c r="G11" s="9"/>
      <c r="H11" s="9"/>
      <c r="I11" s="9"/>
      <c r="J11" s="9">
        <f t="shared" si="0"/>
        <v>0</v>
      </c>
      <c r="K11" s="12"/>
      <c r="L11" s="3" t="s">
        <v>73</v>
      </c>
      <c r="M11" s="9">
        <v>0</v>
      </c>
      <c r="N11" s="9">
        <v>0</v>
      </c>
      <c r="O11" s="9">
        <v>91</v>
      </c>
      <c r="P11" s="9">
        <v>4500</v>
      </c>
      <c r="Q11" s="9">
        <v>1600</v>
      </c>
      <c r="R11" s="9"/>
      <c r="S11" s="9"/>
      <c r="T11" s="9"/>
      <c r="U11" s="9"/>
      <c r="V11" s="9"/>
      <c r="W11" s="9"/>
      <c r="X11" s="9"/>
      <c r="Y11" s="9"/>
      <c r="Z11" s="21"/>
    </row>
    <row r="12" spans="1:27" ht="21.95" customHeight="1" x14ac:dyDescent="0.25">
      <c r="A12" s="3" t="s">
        <v>9</v>
      </c>
      <c r="B12" s="7" t="s">
        <v>24</v>
      </c>
      <c r="C12" s="9" t="s">
        <v>36</v>
      </c>
      <c r="D12" s="9">
        <v>6000</v>
      </c>
      <c r="E12" s="9"/>
      <c r="F12" s="9"/>
      <c r="G12" s="9"/>
      <c r="H12" s="9"/>
      <c r="I12" s="9"/>
      <c r="J12" s="9">
        <f t="shared" si="0"/>
        <v>6000</v>
      </c>
      <c r="K12" s="12"/>
      <c r="L12" s="3" t="s">
        <v>74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/>
      <c r="S12" s="9"/>
      <c r="T12" s="9"/>
      <c r="U12" s="9"/>
      <c r="V12" s="9"/>
      <c r="W12" s="9"/>
      <c r="X12" s="9"/>
      <c r="Y12" s="9"/>
      <c r="Z12" s="21"/>
    </row>
    <row r="13" spans="1:27" ht="24" customHeight="1" x14ac:dyDescent="0.25">
      <c r="A13" s="30" t="s">
        <v>42</v>
      </c>
      <c r="B13" s="6" t="s">
        <v>49</v>
      </c>
      <c r="C13" s="5" t="s">
        <v>50</v>
      </c>
      <c r="D13" s="9">
        <v>4200</v>
      </c>
      <c r="E13" s="9">
        <v>-4200</v>
      </c>
      <c r="F13" s="9"/>
      <c r="G13" s="9"/>
      <c r="H13" s="9"/>
      <c r="I13" s="9"/>
      <c r="J13" s="9">
        <f t="shared" si="0"/>
        <v>0</v>
      </c>
      <c r="K13" s="12"/>
      <c r="L13" s="3" t="s">
        <v>75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/>
      <c r="S13" s="9"/>
      <c r="T13" s="9"/>
      <c r="U13" s="9"/>
      <c r="V13" s="9"/>
      <c r="W13" s="9"/>
      <c r="X13" s="9"/>
      <c r="Y13" s="9"/>
      <c r="Z13" s="21"/>
    </row>
    <row r="14" spans="1:27" ht="21.95" customHeight="1" x14ac:dyDescent="0.25">
      <c r="A14" s="31"/>
      <c r="B14" s="6" t="s">
        <v>38</v>
      </c>
      <c r="C14" s="5"/>
      <c r="D14" s="9">
        <v>200</v>
      </c>
      <c r="E14" s="9">
        <v>-200</v>
      </c>
      <c r="F14" s="9"/>
      <c r="G14" s="9"/>
      <c r="H14" s="9"/>
      <c r="I14" s="9"/>
      <c r="J14" s="9">
        <f t="shared" si="0"/>
        <v>0</v>
      </c>
      <c r="K14" s="12"/>
      <c r="L14" s="3" t="s">
        <v>76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/>
      <c r="S14" s="9"/>
      <c r="T14" s="9"/>
      <c r="U14" s="9"/>
      <c r="V14" s="9"/>
      <c r="W14" s="9"/>
      <c r="X14" s="9"/>
      <c r="Y14" s="9"/>
      <c r="Z14" s="21"/>
    </row>
    <row r="15" spans="1:27" ht="21.95" customHeight="1" x14ac:dyDescent="0.25">
      <c r="A15" s="31"/>
      <c r="B15" s="6" t="s">
        <v>47</v>
      </c>
      <c r="C15" s="5" t="s">
        <v>48</v>
      </c>
      <c r="D15" s="9">
        <v>300</v>
      </c>
      <c r="E15" s="9"/>
      <c r="F15" s="9"/>
      <c r="G15" s="9"/>
      <c r="H15" s="9"/>
      <c r="I15" s="9"/>
      <c r="J15" s="9">
        <f t="shared" si="0"/>
        <v>300</v>
      </c>
      <c r="K15" s="12"/>
      <c r="L15" s="14"/>
      <c r="M15" s="14">
        <f>SUM(M3:M14)</f>
        <v>21471.98</v>
      </c>
      <c r="N15" s="14">
        <f>SUM(N3:N14)</f>
        <v>4344</v>
      </c>
      <c r="O15" s="14">
        <f>SUM(O3:O14)</f>
        <v>1513.3400000000001</v>
      </c>
      <c r="P15" s="14">
        <f>SUM(P3:P14)</f>
        <v>40500</v>
      </c>
      <c r="Q15" s="14">
        <f>SUM(Q3:Q14)</f>
        <v>14700</v>
      </c>
      <c r="R15" s="14"/>
      <c r="S15" s="14"/>
      <c r="T15" s="14"/>
      <c r="U15" s="14"/>
      <c r="V15" s="14"/>
      <c r="W15" s="14"/>
      <c r="X15" s="14"/>
      <c r="Y15" s="14"/>
      <c r="Z15" s="21">
        <f>SUM(M15:Y15)</f>
        <v>82529.320000000007</v>
      </c>
      <c r="AA15" s="26" t="s">
        <v>88</v>
      </c>
    </row>
    <row r="16" spans="1:27" ht="24" customHeight="1" x14ac:dyDescent="0.25">
      <c r="A16" s="31"/>
      <c r="B16" s="6" t="s">
        <v>51</v>
      </c>
      <c r="C16" s="5"/>
      <c r="D16" s="9">
        <v>0</v>
      </c>
      <c r="E16" s="9"/>
      <c r="F16" s="9"/>
      <c r="G16" s="9"/>
      <c r="H16" s="9"/>
      <c r="I16" s="9"/>
      <c r="J16" s="9">
        <f t="shared" si="0"/>
        <v>0</v>
      </c>
      <c r="K16" s="12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7" customHeight="1" x14ac:dyDescent="0.25">
      <c r="A17" s="32"/>
      <c r="B17" s="6" t="s">
        <v>39</v>
      </c>
      <c r="C17" s="5" t="s">
        <v>59</v>
      </c>
      <c r="D17" s="9">
        <v>0</v>
      </c>
      <c r="E17" s="9"/>
      <c r="F17" s="9"/>
      <c r="G17" s="9"/>
      <c r="H17" s="9"/>
      <c r="I17" s="9"/>
      <c r="J17" s="9">
        <f t="shared" si="0"/>
        <v>0</v>
      </c>
      <c r="K17" s="12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1.95" customHeight="1" x14ac:dyDescent="0.25">
      <c r="A18" s="3" t="s">
        <v>10</v>
      </c>
      <c r="B18" s="7" t="s">
        <v>37</v>
      </c>
      <c r="C18" s="9" t="s">
        <v>83</v>
      </c>
      <c r="D18" s="9">
        <v>2800</v>
      </c>
      <c r="E18" s="9">
        <v>-2800</v>
      </c>
      <c r="F18" s="9"/>
      <c r="G18" s="9"/>
      <c r="H18" s="9"/>
      <c r="I18" s="9"/>
      <c r="J18" s="9">
        <f t="shared" si="0"/>
        <v>0</v>
      </c>
      <c r="K18" s="12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4.75" customHeight="1" x14ac:dyDescent="0.25">
      <c r="A19" s="3" t="s">
        <v>11</v>
      </c>
      <c r="B19" s="6" t="s">
        <v>31</v>
      </c>
      <c r="C19" s="9" t="s">
        <v>32</v>
      </c>
      <c r="D19" s="9">
        <v>3000</v>
      </c>
      <c r="E19" s="9">
        <v>-3000</v>
      </c>
      <c r="F19" s="9"/>
      <c r="G19" s="9"/>
      <c r="H19" s="9"/>
      <c r="I19" s="9"/>
      <c r="J19" s="9">
        <f t="shared" si="0"/>
        <v>0</v>
      </c>
      <c r="K19" s="12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1.95" customHeight="1" x14ac:dyDescent="0.25">
      <c r="A20" s="3" t="s">
        <v>12</v>
      </c>
      <c r="B20" s="7" t="s">
        <v>29</v>
      </c>
      <c r="C20" s="9" t="s">
        <v>30</v>
      </c>
      <c r="D20" s="9">
        <v>3000</v>
      </c>
      <c r="E20" s="9"/>
      <c r="F20" s="9"/>
      <c r="G20" s="9"/>
      <c r="H20" s="9"/>
      <c r="I20" s="9"/>
      <c r="J20" s="9">
        <f t="shared" si="0"/>
        <v>3000</v>
      </c>
      <c r="K20" s="12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4.75" customHeight="1" x14ac:dyDescent="0.25">
      <c r="A21" s="3" t="s">
        <v>13</v>
      </c>
      <c r="B21" s="6" t="s">
        <v>25</v>
      </c>
      <c r="C21" s="9" t="s">
        <v>26</v>
      </c>
      <c r="D21" s="9">
        <v>2500</v>
      </c>
      <c r="E21" s="9">
        <v>-2500</v>
      </c>
      <c r="F21" s="9"/>
      <c r="G21" s="9"/>
      <c r="H21" s="9"/>
      <c r="I21" s="9"/>
      <c r="J21" s="9">
        <f t="shared" si="0"/>
        <v>0</v>
      </c>
      <c r="K21" s="12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1.95" customHeight="1" x14ac:dyDescent="0.25">
      <c r="A22" s="3" t="s">
        <v>14</v>
      </c>
      <c r="B22" s="7" t="s">
        <v>41</v>
      </c>
      <c r="C22" s="9"/>
      <c r="D22" s="9">
        <v>2000</v>
      </c>
      <c r="E22" s="9">
        <v>-2000</v>
      </c>
      <c r="F22" s="9"/>
      <c r="G22" s="9"/>
      <c r="H22" s="9"/>
      <c r="I22" s="9"/>
      <c r="J22" s="9">
        <f t="shared" si="0"/>
        <v>0</v>
      </c>
      <c r="K22" s="12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1.95" customHeight="1" x14ac:dyDescent="0.25">
      <c r="A23" s="3" t="s">
        <v>16</v>
      </c>
      <c r="B23" s="7"/>
      <c r="C23" s="9"/>
      <c r="D23" s="9">
        <v>2400</v>
      </c>
      <c r="E23" s="9">
        <v>-2400</v>
      </c>
      <c r="F23" s="9"/>
      <c r="G23" s="9"/>
      <c r="H23" s="9"/>
      <c r="I23" s="9"/>
      <c r="J23" s="9">
        <f t="shared" si="0"/>
        <v>0</v>
      </c>
      <c r="K23" s="12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1.95" customHeight="1" x14ac:dyDescent="0.25">
      <c r="A24" s="9" t="s">
        <v>18</v>
      </c>
      <c r="B24" s="11" t="s">
        <v>33</v>
      </c>
      <c r="C24" s="9" t="s">
        <v>34</v>
      </c>
      <c r="D24" s="9">
        <v>5000</v>
      </c>
      <c r="E24" s="9">
        <v>-3500</v>
      </c>
      <c r="F24" s="9"/>
      <c r="G24" s="9"/>
      <c r="H24" s="9"/>
      <c r="I24" s="9"/>
      <c r="J24" s="9">
        <f t="shared" si="0"/>
        <v>1500</v>
      </c>
      <c r="K24" s="12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1.95" customHeight="1" x14ac:dyDescent="0.25">
      <c r="A25" s="9" t="s">
        <v>19</v>
      </c>
      <c r="B25" s="11" t="s">
        <v>35</v>
      </c>
      <c r="C25" s="9" t="s">
        <v>36</v>
      </c>
      <c r="D25" s="9">
        <v>22000</v>
      </c>
      <c r="E25" s="9">
        <v>-22000</v>
      </c>
      <c r="F25" s="9"/>
      <c r="G25" s="9"/>
      <c r="H25" s="9"/>
      <c r="I25" s="9"/>
      <c r="J25" s="9">
        <f t="shared" si="0"/>
        <v>0</v>
      </c>
      <c r="K25" s="12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1.95" customHeight="1" x14ac:dyDescent="0.25">
      <c r="A26" s="9" t="s">
        <v>40</v>
      </c>
      <c r="B26" s="11" t="s">
        <v>84</v>
      </c>
      <c r="C26" s="9"/>
      <c r="D26" s="9">
        <v>22000</v>
      </c>
      <c r="E26" s="9"/>
      <c r="F26" s="9"/>
      <c r="G26" s="9"/>
      <c r="H26" s="9"/>
      <c r="I26" s="9"/>
      <c r="J26" s="9">
        <f t="shared" si="0"/>
        <v>22000</v>
      </c>
      <c r="K26" s="12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1.95" customHeight="1" x14ac:dyDescent="0.25">
      <c r="A27" s="9" t="s">
        <v>20</v>
      </c>
      <c r="B27" s="11"/>
      <c r="C27" s="9"/>
      <c r="D27" s="9">
        <v>5600</v>
      </c>
      <c r="E27" s="9">
        <v>-5600</v>
      </c>
      <c r="F27" s="9"/>
      <c r="G27" s="9"/>
      <c r="H27" s="9"/>
      <c r="I27" s="9"/>
      <c r="J27" s="9">
        <f t="shared" si="0"/>
        <v>0</v>
      </c>
      <c r="K27" s="12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1.95" customHeight="1" x14ac:dyDescent="0.25">
      <c r="A28" s="3" t="s">
        <v>7</v>
      </c>
      <c r="B28" s="7"/>
      <c r="C28" s="9"/>
      <c r="D28" s="9">
        <v>39789</v>
      </c>
      <c r="E28" s="9">
        <v>-39789</v>
      </c>
      <c r="F28" s="9"/>
      <c r="G28" s="9"/>
      <c r="H28" s="9"/>
      <c r="I28" s="9"/>
      <c r="J28" s="9">
        <f t="shared" si="0"/>
        <v>0</v>
      </c>
      <c r="K28" s="12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1.95" customHeight="1" x14ac:dyDescent="0.25">
      <c r="A29" s="4" t="s">
        <v>45</v>
      </c>
      <c r="B29" s="7" t="s">
        <v>46</v>
      </c>
      <c r="C29" s="9"/>
      <c r="D29" s="9">
        <v>15000</v>
      </c>
      <c r="E29" s="9">
        <v>-3750</v>
      </c>
      <c r="F29" s="9">
        <v>-3750</v>
      </c>
      <c r="G29" s="9">
        <v>-3750</v>
      </c>
      <c r="H29" s="9">
        <v>-3750</v>
      </c>
      <c r="I29" s="9"/>
      <c r="J29" s="9">
        <f t="shared" si="0"/>
        <v>0</v>
      </c>
      <c r="K29" s="12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1.95" customHeight="1" x14ac:dyDescent="0.25">
      <c r="A30" s="3" t="s">
        <v>89</v>
      </c>
      <c r="B30" s="7"/>
      <c r="C30" s="9"/>
      <c r="D30" s="5">
        <v>2000</v>
      </c>
      <c r="E30" s="5">
        <v>-2000</v>
      </c>
      <c r="F30" s="5"/>
      <c r="G30" s="5"/>
      <c r="H30" s="5"/>
      <c r="I30" s="5"/>
      <c r="J30" s="5">
        <f t="shared" si="0"/>
        <v>0</v>
      </c>
      <c r="K30" s="12"/>
    </row>
    <row r="31" spans="1:26" ht="21.95" customHeight="1" x14ac:dyDescent="0.25">
      <c r="A31" s="3"/>
      <c r="B31" s="7"/>
      <c r="C31" s="9"/>
      <c r="D31" s="9"/>
      <c r="E31" s="9"/>
      <c r="F31" s="9"/>
      <c r="G31" s="9"/>
      <c r="H31" s="9"/>
      <c r="I31" s="9"/>
      <c r="J31" s="9"/>
      <c r="K31" s="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.95" customHeight="1" x14ac:dyDescent="0.25">
      <c r="A32" s="3"/>
      <c r="B32" s="7"/>
      <c r="C32" s="9"/>
      <c r="D32" s="9"/>
      <c r="E32" s="9"/>
      <c r="F32" s="9"/>
      <c r="G32" s="9"/>
      <c r="H32" s="9"/>
      <c r="I32" s="9"/>
      <c r="J32" s="9"/>
      <c r="K32" s="12"/>
    </row>
    <row r="33" spans="1:11" ht="21.95" customHeight="1" x14ac:dyDescent="0.25">
      <c r="A33" s="3"/>
      <c r="B33" s="7"/>
      <c r="C33" s="9"/>
      <c r="D33" s="9"/>
      <c r="E33" s="9"/>
      <c r="F33" s="9"/>
      <c r="G33" s="9"/>
      <c r="H33" s="9"/>
      <c r="I33" s="9"/>
      <c r="J33" s="9"/>
      <c r="K33" s="12"/>
    </row>
    <row r="34" spans="1:11" ht="21.95" customHeight="1" x14ac:dyDescent="0.25">
      <c r="A34" s="3"/>
      <c r="B34" s="7"/>
      <c r="C34" s="9"/>
      <c r="D34" s="9"/>
      <c r="E34" s="9"/>
      <c r="F34" s="9"/>
      <c r="G34" s="9"/>
      <c r="H34" s="9"/>
      <c r="I34" s="9"/>
      <c r="J34" s="9"/>
      <c r="K34" s="12"/>
    </row>
    <row r="35" spans="1:11" ht="21.95" customHeight="1" x14ac:dyDescent="0.25">
      <c r="A35" s="9"/>
      <c r="B35" s="11"/>
      <c r="C35" s="9"/>
      <c r="D35" s="9"/>
      <c r="E35" s="9"/>
      <c r="F35" s="9"/>
      <c r="G35" s="9"/>
      <c r="H35" s="9"/>
      <c r="I35" s="9"/>
      <c r="J35" s="9"/>
      <c r="K35" s="12"/>
    </row>
    <row r="36" spans="1:11" ht="21.95" customHeight="1" x14ac:dyDescent="0.25">
      <c r="A36" s="9"/>
      <c r="B36" s="11"/>
      <c r="C36" s="9"/>
      <c r="D36" s="9"/>
      <c r="E36" s="9"/>
      <c r="F36" s="9"/>
      <c r="G36" s="9"/>
      <c r="H36" s="9"/>
      <c r="I36" s="9"/>
      <c r="J36" s="9"/>
      <c r="K36" s="12"/>
    </row>
    <row r="37" spans="1:11" ht="21.95" customHeight="1" x14ac:dyDescent="0.25">
      <c r="A37" s="9"/>
      <c r="B37" s="11"/>
      <c r="C37" s="9"/>
      <c r="D37" s="9"/>
      <c r="E37" s="9"/>
      <c r="F37" s="9"/>
      <c r="G37" s="9"/>
      <c r="H37" s="9"/>
      <c r="I37" s="9"/>
      <c r="J37" s="9"/>
      <c r="K37" s="12"/>
    </row>
    <row r="38" spans="1:11" ht="21.95" customHeight="1" x14ac:dyDescent="0.25">
      <c r="A38" s="18"/>
      <c r="B38" s="19"/>
      <c r="C38" s="20" t="s">
        <v>82</v>
      </c>
      <c r="D38" s="18">
        <f>SUM(D3:D37)</f>
        <v>238264.03999999998</v>
      </c>
      <c r="E38" s="15">
        <f>SUM(E3:E37)</f>
        <v>-149204.20000000001</v>
      </c>
      <c r="F38" s="15">
        <f>SUM(F3:F37)</f>
        <v>-18753.3</v>
      </c>
      <c r="G38" s="15">
        <f>SUM(G3:G37)</f>
        <v>-18753.3</v>
      </c>
      <c r="H38" s="15"/>
      <c r="I38" s="15"/>
      <c r="J38" s="15">
        <f>SUM(D38:I38)</f>
        <v>51553.239999999962</v>
      </c>
      <c r="K38" s="25"/>
    </row>
    <row r="39" spans="1:11" ht="21.95" customHeight="1" x14ac:dyDescent="0.25">
      <c r="D39" s="24" t="s">
        <v>87</v>
      </c>
    </row>
    <row r="40" spans="1:11" ht="21.95" customHeight="1" x14ac:dyDescent="0.25">
      <c r="H40" s="24" t="s">
        <v>86</v>
      </c>
      <c r="I40" s="22" t="s">
        <v>85</v>
      </c>
      <c r="J40" s="23">
        <f>D38+Z15</f>
        <v>320793.36</v>
      </c>
    </row>
  </sheetData>
  <mergeCells count="3">
    <mergeCell ref="A13:A17"/>
    <mergeCell ref="B4:B6"/>
    <mergeCell ref="C4:C6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2026-08-19T22:01:15Z</dcterms:created>
  <dcterms:modified xsi:type="dcterms:W3CDTF">2026-10-10T07:18:44Z</dcterms:modified>
  <cp:category/>
</cp:coreProperties>
</file>